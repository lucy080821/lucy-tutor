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Leo Harrison\Lucy Tutor\"/>
    </mc:Choice>
  </mc:AlternateContent>
  <xr:revisionPtr revIDLastSave="0" documentId="13_ncr:1_{A62B4626-923D-4826-A94E-7A8FA7E3FFE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roject Overview" sheetId="1" r:id="rId1"/>
    <sheet name="Detailed Plan" sheetId="2" r:id="rId2"/>
  </sheets>
  <calcPr calcId="191029"/>
</workbook>
</file>

<file path=xl/calcChain.xml><?xml version="1.0" encoding="utf-8"?>
<calcChain xmlns="http://schemas.openxmlformats.org/spreadsheetml/2006/main">
  <c r="E21" i="1" l="1"/>
  <c r="D21" i="1"/>
  <c r="F21" i="1" s="1"/>
  <c r="E20" i="1"/>
  <c r="D20" i="1"/>
  <c r="F20" i="1" s="1"/>
  <c r="E19" i="1"/>
  <c r="D19" i="1"/>
  <c r="F19" i="1" s="1"/>
  <c r="E18" i="1"/>
  <c r="D18" i="1"/>
  <c r="F18" i="1" s="1"/>
  <c r="E17" i="1"/>
  <c r="D17" i="1"/>
  <c r="E16" i="1"/>
  <c r="D16" i="1"/>
  <c r="G11" i="1"/>
  <c r="F11" i="1"/>
  <c r="E11" i="1"/>
  <c r="D11" i="1"/>
  <c r="C11" i="1"/>
  <c r="B11" i="1"/>
  <c r="F17" i="1" l="1"/>
  <c r="F16" i="1"/>
</calcChain>
</file>

<file path=xl/sharedStrings.xml><?xml version="1.0" encoding="utf-8"?>
<sst xmlns="http://schemas.openxmlformats.org/spreadsheetml/2006/main" count="76" uniqueCount="43">
  <si>
    <t>PROJECT PLAN &amp; PROGRESS: ENGLISH AI SYSTEM</t>
  </si>
  <si>
    <t>Personalized High School Graduation Exam Preparation Platform</t>
  </si>
  <si>
    <t>Project Start Date:</t>
  </si>
  <si>
    <t>Target Completion Date:</t>
  </si>
  <si>
    <t>Total Personnel:</t>
  </si>
  <si>
    <t>Overall Project Status:</t>
  </si>
  <si>
    <t>In Progress</t>
  </si>
  <si>
    <t>Total Tasks</t>
  </si>
  <si>
    <t>Completed</t>
  </si>
  <si>
    <t>Not Started</t>
  </si>
  <si>
    <t>Delayed</t>
  </si>
  <si>
    <t>Overall Progress</t>
  </si>
  <si>
    <t>PROGRESS BY PROCESS PHASES</t>
  </si>
  <si>
    <t>Phase Code</t>
  </si>
  <si>
    <t>Project Phase</t>
  </si>
  <si>
    <t>Tasks Completed</t>
  </si>
  <si>
    <t>Completion Rate</t>
  </si>
  <si>
    <t>PHASE 1</t>
  </si>
  <si>
    <t>PHASE 2</t>
  </si>
  <si>
    <t>DETAILED PROJECT TIMELINE &amp; TASK TRACKING</t>
  </si>
  <si>
    <t>Task Name</t>
  </si>
  <si>
    <t>Detailed Description / Deliverables</t>
  </si>
  <si>
    <t>Assignee</t>
  </si>
  <si>
    <t>Start Date</t>
  </si>
  <si>
    <t>End Date</t>
  </si>
  <si>
    <t>Status</t>
  </si>
  <si>
    <t>Progress</t>
  </si>
  <si>
    <t>27/05/2026</t>
  </si>
  <si>
    <t>30/06/2026</t>
  </si>
  <si>
    <t>Create UX/UI for teacher's page and student's page</t>
  </si>
  <si>
    <t>UX/UI Design</t>
  </si>
  <si>
    <t>Leo Harrison</t>
  </si>
  <si>
    <t>Appearance - UX/UI Design</t>
  </si>
  <si>
    <t>Add functions (upload file, test assignment, etc)</t>
  </si>
  <si>
    <t>AI Intergration</t>
  </si>
  <si>
    <t>Intergrate Groq AI to explain the result of test</t>
  </si>
  <si>
    <t>Personalized Learning Process</t>
  </si>
  <si>
    <t>Groq AI saves wrong questions and answer to database as general knowledge. For instance, students' wrong answer is Conditional Sentence, AI saves it as the name of mistakes (Conditional Sentences)</t>
  </si>
  <si>
    <t>Result Tracking</t>
  </si>
  <si>
    <t>Create dashboard for score/process tracking using charts</t>
  </si>
  <si>
    <t>Groq AI analyse process/score and personalizedly gives advice</t>
  </si>
  <si>
    <t>Add functions if students finish test without mistakes three times in row, it will change the status to "Resolved"</t>
  </si>
  <si>
    <t>AI Intergaration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</si>
</sst>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"/>
  </numFmts>
  <fonts count="12" x14ac:knownFonts="1">
    <font>
      <sz val="11"/>
      <color theme="1"/>
      <name val="Arial"/>
      <family val="2"/>
      <scheme val="minor"/>
    </font>
    <font>
      <b/>
      <sz val="16"/>
      <color rgb="FF1F497D"/>
      <name val="Segoe UI"/>
    </font>
    <font>
      <i/>
      <sz val="10"/>
      <color rgb="FF595959"/>
      <name val="Segoe UI"/>
    </font>
    <font>
      <b/>
      <sz val="11"/>
      <color rgb="FF000000"/>
      <name val="Segoe UI"/>
    </font>
    <font>
      <sz val="11"/>
      <color rgb="FF000000"/>
      <name val="Segoe UI"/>
    </font>
    <font>
      <b/>
      <sz val="11"/>
      <color rgb="FF7F6000"/>
      <name val="Segoe UI"/>
    </font>
    <font>
      <b/>
      <sz val="10"/>
      <color rgb="FF595959"/>
      <name val="Segoe UI"/>
    </font>
    <font>
      <b/>
      <sz val="12"/>
      <color rgb="FF000000"/>
      <name val="Segoe UI"/>
    </font>
    <font>
      <b/>
      <sz val="11"/>
      <color rgb="FFFFFFFF"/>
      <name val="Segoe UI"/>
    </font>
    <font>
      <b/>
      <sz val="11"/>
      <color rgb="FF375623"/>
      <name val="Segoe UI"/>
    </font>
    <font>
      <sz val="11"/>
      <color rgb="FF595959"/>
      <name val="Segoe UI"/>
    </font>
    <font>
      <sz val="11"/>
      <color rgb="FF000000"/>
      <name val="Segoe UI"/>
      <family val="2"/>
      <charset val="163"/>
    </font>
  </fonts>
  <fills count="10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E9EDF4"/>
        <bgColor rgb="FFE9EDF4"/>
      </patternFill>
    </fill>
    <fill>
      <patternFill patternType="solid">
        <fgColor rgb="FF1F497D"/>
        <bgColor rgb="FF1F497D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2F5F8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rgb="FFE2EFDA"/>
      </patternFill>
    </fill>
    <fill>
      <patternFill patternType="solid">
        <fgColor theme="0"/>
        <bgColor rgb="FFE2E2E2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97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2" borderId="0" xfId="0" applyFont="1" applyFill="1"/>
    <xf numFmtId="0" fontId="6" fillId="3" borderId="1" xfId="0" applyFont="1" applyFill="1" applyBorder="1" applyAlignment="1">
      <alignment horizontal="center" vertical="center" wrapText="1"/>
    </xf>
    <xf numFmtId="3" fontId="1" fillId="0" borderId="2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7" fillId="0" borderId="0" xfId="0" applyFont="1"/>
    <xf numFmtId="0" fontId="8" fillId="4" borderId="3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left"/>
    </xf>
    <xf numFmtId="0" fontId="4" fillId="0" borderId="4" xfId="0" applyFont="1" applyBorder="1" applyAlignment="1">
      <alignment horizontal="center"/>
    </xf>
    <xf numFmtId="0" fontId="4" fillId="0" borderId="4" xfId="0" applyFont="1" applyBorder="1"/>
    <xf numFmtId="164" fontId="3" fillId="0" borderId="4" xfId="0" applyNumberFormat="1" applyFont="1" applyBorder="1" applyAlignment="1">
      <alignment horizontal="right"/>
    </xf>
    <xf numFmtId="0" fontId="8" fillId="4" borderId="3" xfId="0" applyFont="1" applyFill="1" applyBorder="1" applyAlignment="1">
      <alignment horizontal="center" vertical="center" wrapText="1"/>
    </xf>
    <xf numFmtId="14" fontId="11" fillId="0" borderId="0" xfId="0" applyNumberFormat="1" applyFont="1"/>
    <xf numFmtId="0" fontId="11" fillId="0" borderId="0" xfId="0" applyFont="1"/>
    <xf numFmtId="0" fontId="4" fillId="0" borderId="0" xfId="0" applyFont="1" applyAlignment="1">
      <alignment horizontal="left"/>
    </xf>
    <xf numFmtId="0" fontId="11" fillId="0" borderId="4" xfId="0" applyFont="1" applyBorder="1"/>
    <xf numFmtId="0" fontId="11" fillId="0" borderId="4" xfId="0" applyFont="1" applyBorder="1" applyAlignment="1">
      <alignment horizontal="center"/>
    </xf>
    <xf numFmtId="0" fontId="11" fillId="5" borderId="4" xfId="0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left" vertical="center" wrapText="1"/>
    </xf>
    <xf numFmtId="0" fontId="11" fillId="6" borderId="4" xfId="0" applyFont="1" applyFill="1" applyBorder="1" applyAlignment="1">
      <alignment horizontal="left" vertical="center"/>
    </xf>
    <xf numFmtId="165" fontId="11" fillId="5" borderId="4" xfId="0" applyNumberFormat="1" applyFont="1" applyFill="1" applyBorder="1" applyAlignment="1">
      <alignment horizontal="center" vertical="center"/>
    </xf>
    <xf numFmtId="165" fontId="4" fillId="5" borderId="4" xfId="0" applyNumberFormat="1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9" fontId="4" fillId="6" borderId="4" xfId="0" applyNumberFormat="1" applyFont="1" applyFill="1" applyBorder="1" applyAlignment="1">
      <alignment horizontal="right" vertical="center"/>
    </xf>
    <xf numFmtId="0" fontId="4" fillId="6" borderId="4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horizontal="left" vertical="center" wrapText="1"/>
    </xf>
    <xf numFmtId="0" fontId="11" fillId="5" borderId="4" xfId="0" applyFont="1" applyFill="1" applyBorder="1" applyAlignment="1">
      <alignment horizontal="left" vertical="center"/>
    </xf>
    <xf numFmtId="9" fontId="4" fillId="5" borderId="4" xfId="0" applyNumberFormat="1" applyFont="1" applyFill="1" applyBorder="1" applyAlignment="1">
      <alignment horizontal="right" vertical="center"/>
    </xf>
    <xf numFmtId="0" fontId="0" fillId="5" borderId="0" xfId="0" applyFill="1"/>
    <xf numFmtId="0" fontId="4" fillId="5" borderId="4" xfId="0" applyFont="1" applyFill="1" applyBorder="1" applyAlignment="1">
      <alignment horizontal="left" vertical="center"/>
    </xf>
    <xf numFmtId="0" fontId="4" fillId="6" borderId="4" xfId="0" applyFont="1" applyFill="1" applyBorder="1" applyAlignment="1">
      <alignment horizontal="left" vertical="center" wrapText="1"/>
    </xf>
    <xf numFmtId="0" fontId="9" fillId="8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left" vertical="center" wrapText="1"/>
    </xf>
    <xf numFmtId="0" fontId="10" fillId="9" borderId="4" xfId="0" applyFont="1" applyFill="1" applyBorder="1" applyAlignment="1">
      <alignment horizontal="center" vertical="center"/>
    </xf>
    <xf numFmtId="0" fontId="0" fillId="5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1"/>
  <sheetViews>
    <sheetView topLeftCell="A3" workbookViewId="0">
      <selection activeCell="C18" sqref="C18"/>
    </sheetView>
  </sheetViews>
  <sheetFormatPr defaultRowHeight="13.8" x14ac:dyDescent="0.25"/>
  <cols>
    <col min="1" max="1" width="12" customWidth="1"/>
    <col min="2" max="2" width="15" customWidth="1"/>
    <col min="3" max="3" width="52" customWidth="1"/>
    <col min="4" max="4" width="15" customWidth="1"/>
    <col min="5" max="5" width="22" customWidth="1"/>
    <col min="6" max="6" width="20" customWidth="1"/>
    <col min="7" max="7" width="35" customWidth="1"/>
  </cols>
  <sheetData>
    <row r="2" spans="2:7" ht="24.6" x14ac:dyDescent="0.55000000000000004">
      <c r="B2" s="1" t="s">
        <v>0</v>
      </c>
    </row>
    <row r="3" spans="2:7" ht="15" x14ac:dyDescent="0.35">
      <c r="B3" s="2" t="s">
        <v>1</v>
      </c>
    </row>
    <row r="5" spans="2:7" ht="16.8" x14ac:dyDescent="0.4">
      <c r="B5" s="3" t="s">
        <v>2</v>
      </c>
      <c r="C5" s="15" t="s">
        <v>27</v>
      </c>
    </row>
    <row r="6" spans="2:7" ht="16.8" x14ac:dyDescent="0.4">
      <c r="B6" s="3" t="s">
        <v>3</v>
      </c>
      <c r="C6" s="16" t="s">
        <v>28</v>
      </c>
    </row>
    <row r="7" spans="2:7" ht="16.8" x14ac:dyDescent="0.4">
      <c r="B7" s="3" t="s">
        <v>4</v>
      </c>
      <c r="C7" s="17">
        <v>1</v>
      </c>
    </row>
    <row r="8" spans="2:7" ht="16.8" x14ac:dyDescent="0.4">
      <c r="B8" s="3" t="s">
        <v>5</v>
      </c>
      <c r="C8" s="4" t="s">
        <v>6</v>
      </c>
    </row>
    <row r="10" spans="2:7" ht="15" x14ac:dyDescent="0.25">
      <c r="B10" s="5" t="s">
        <v>7</v>
      </c>
      <c r="C10" s="5" t="s">
        <v>8</v>
      </c>
      <c r="D10" s="5" t="s">
        <v>6</v>
      </c>
      <c r="E10" s="5" t="s">
        <v>9</v>
      </c>
      <c r="F10" s="5" t="s">
        <v>10</v>
      </c>
      <c r="G10" s="5" t="s">
        <v>11</v>
      </c>
    </row>
    <row r="11" spans="2:7" ht="24.6" x14ac:dyDescent="0.25">
      <c r="B11" s="6">
        <f>COUNTA('Detailed Plan'!B5:B35)</f>
        <v>7</v>
      </c>
      <c r="C11" s="6">
        <f>COUNTIF('Detailed Plan'!G5:G35, "Completed")</f>
        <v>0</v>
      </c>
      <c r="D11" s="6">
        <f>COUNTIF('Detailed Plan'!G5:G35, "In Progress")</f>
        <v>7</v>
      </c>
      <c r="E11" s="6">
        <f>COUNTIF('Detailed Plan'!G5:G35, "Not Started")</f>
        <v>0</v>
      </c>
      <c r="F11" s="6">
        <f>COUNTIF('Detailed Plan'!G5:G35, "Delayed")</f>
        <v>0</v>
      </c>
      <c r="G11" s="7">
        <f>AVERAGE('Detailed Plan'!H5:H35)</f>
        <v>0.12857142857142859</v>
      </c>
    </row>
    <row r="14" spans="2:7" ht="19.2" x14ac:dyDescent="0.45">
      <c r="B14" s="8" t="s">
        <v>12</v>
      </c>
    </row>
    <row r="15" spans="2:7" ht="16.8" x14ac:dyDescent="0.4">
      <c r="B15" s="9" t="s">
        <v>13</v>
      </c>
      <c r="C15" s="10" t="s">
        <v>14</v>
      </c>
      <c r="D15" s="9" t="s">
        <v>7</v>
      </c>
      <c r="E15" s="9" t="s">
        <v>15</v>
      </c>
      <c r="F15" s="9" t="s">
        <v>16</v>
      </c>
    </row>
    <row r="16" spans="2:7" ht="16.8" x14ac:dyDescent="0.4">
      <c r="B16" s="11" t="s">
        <v>17</v>
      </c>
      <c r="C16" s="18" t="s">
        <v>32</v>
      </c>
      <c r="D16" s="11">
        <f>COUNTIF('Detailed Plan'!A5:A35,"PHASE 1")</f>
        <v>4</v>
      </c>
      <c r="E16" s="11">
        <f>COUNTIFS('Detailed Plan'!A5:A35,"PHASE 1",'Detailed Plan'!G5:G35,"Completed")</f>
        <v>0</v>
      </c>
      <c r="F16" s="13">
        <f t="shared" ref="F16:F21" si="0">IF(D16&gt;0, E16/D16, 0)</f>
        <v>0</v>
      </c>
    </row>
    <row r="17" spans="2:6" ht="16.8" x14ac:dyDescent="0.4">
      <c r="B17" s="19" t="s">
        <v>18</v>
      </c>
      <c r="C17" s="18" t="s">
        <v>42</v>
      </c>
      <c r="D17" s="11">
        <f>COUNTIF('Detailed Plan'!A5:A35,"PHASE 2")</f>
        <v>3</v>
      </c>
      <c r="E17" s="11">
        <f>COUNTIFS('Detailed Plan'!A5:A35,"PHASE 2",'Detailed Plan'!G5:G35,"Completed")</f>
        <v>0</v>
      </c>
      <c r="F17" s="13">
        <f t="shared" si="0"/>
        <v>0</v>
      </c>
    </row>
    <row r="18" spans="2:6" ht="16.8" x14ac:dyDescent="0.4">
      <c r="B18" s="11"/>
      <c r="C18" s="12"/>
      <c r="D18" s="11">
        <f>COUNTIF('Detailed Plan'!A5:A35,"PHASE 3")</f>
        <v>0</v>
      </c>
      <c r="E18" s="11">
        <f>COUNTIFS('Detailed Plan'!A5:A35,"PHASE 3",'Detailed Plan'!G5:G35,"Completed")</f>
        <v>0</v>
      </c>
      <c r="F18" s="13">
        <f t="shared" si="0"/>
        <v>0</v>
      </c>
    </row>
    <row r="19" spans="2:6" ht="16.8" x14ac:dyDescent="0.4">
      <c r="B19" s="11"/>
      <c r="C19" s="12"/>
      <c r="D19" s="11">
        <f>COUNTIF('Detailed Plan'!A5:A35,"PHASE 4")</f>
        <v>0</v>
      </c>
      <c r="E19" s="11">
        <f>COUNTIFS('Detailed Plan'!A5:A35,"PHASE 4",'Detailed Plan'!G5:G35,"Completed")</f>
        <v>0</v>
      </c>
      <c r="F19" s="13">
        <f t="shared" si="0"/>
        <v>0</v>
      </c>
    </row>
    <row r="20" spans="2:6" ht="16.8" x14ac:dyDescent="0.4">
      <c r="B20" s="11"/>
      <c r="C20" s="12"/>
      <c r="D20" s="11">
        <f>COUNTIF('Detailed Plan'!A5:A35,"PHASE 5")</f>
        <v>0</v>
      </c>
      <c r="E20" s="11">
        <f>COUNTIFS('Detailed Plan'!A5:A35,"PHASE 5",'Detailed Plan'!G5:G35,"Completed")</f>
        <v>0</v>
      </c>
      <c r="F20" s="13">
        <f t="shared" si="0"/>
        <v>0</v>
      </c>
    </row>
    <row r="21" spans="2:6" ht="16.8" x14ac:dyDescent="0.4">
      <c r="B21" s="11"/>
      <c r="C21" s="12"/>
      <c r="D21" s="11">
        <f>COUNTIF('Detailed Plan'!A5:A35,"PHASE 6")</f>
        <v>0</v>
      </c>
      <c r="E21" s="11">
        <f>COUNTIFS('Detailed Plan'!A5:A35,"PHASE 6",'Detailed Plan'!G5:G35,"Completed")</f>
        <v>0</v>
      </c>
      <c r="F21" s="13">
        <f t="shared" si="0"/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"/>
  <sheetViews>
    <sheetView tabSelected="1" workbookViewId="0">
      <pane xSplit="1" ySplit="4" topLeftCell="C5" activePane="bottomRight" state="frozen"/>
      <selection pane="topRight" activeCell="B1" sqref="B1"/>
      <selection pane="bottomLeft" activeCell="A5" sqref="A5"/>
      <selection pane="bottomRight" activeCell="H5" sqref="H5"/>
    </sheetView>
  </sheetViews>
  <sheetFormatPr defaultRowHeight="13.8" x14ac:dyDescent="0.25"/>
  <cols>
    <col min="1" max="1" width="15" style="32" customWidth="1"/>
    <col min="2" max="2" width="38" style="38" customWidth="1"/>
    <col min="3" max="3" width="55" style="32" customWidth="1"/>
    <col min="4" max="4" width="22" style="32" customWidth="1"/>
    <col min="5" max="6" width="14" style="32" customWidth="1"/>
    <col min="7" max="7" width="16" style="32" customWidth="1"/>
    <col min="8" max="8" width="12" style="32" customWidth="1"/>
  </cols>
  <sheetData>
    <row r="1" spans="1:8" x14ac:dyDescent="0.25">
      <c r="A1"/>
      <c r="B1"/>
      <c r="C1"/>
      <c r="D1"/>
      <c r="E1"/>
      <c r="F1"/>
      <c r="G1"/>
      <c r="H1"/>
    </row>
    <row r="2" spans="1:8" ht="24.6" x14ac:dyDescent="0.55000000000000004">
      <c r="A2" s="1" t="s">
        <v>19</v>
      </c>
      <c r="B2"/>
      <c r="C2"/>
      <c r="D2"/>
      <c r="E2"/>
      <c r="F2"/>
      <c r="G2"/>
      <c r="H2"/>
    </row>
    <row r="3" spans="1:8" x14ac:dyDescent="0.25">
      <c r="A3"/>
      <c r="B3"/>
      <c r="C3"/>
      <c r="D3"/>
      <c r="E3"/>
      <c r="F3"/>
      <c r="G3"/>
      <c r="H3"/>
    </row>
    <row r="4" spans="1:8" ht="28.05" customHeight="1" thickBot="1" x14ac:dyDescent="0.3">
      <c r="A4" s="14" t="s">
        <v>13</v>
      </c>
      <c r="B4" s="14" t="s">
        <v>20</v>
      </c>
      <c r="C4" s="14" t="s">
        <v>21</v>
      </c>
      <c r="D4" s="14" t="s">
        <v>22</v>
      </c>
      <c r="E4" s="14" t="s">
        <v>23</v>
      </c>
      <c r="F4" s="14" t="s">
        <v>24</v>
      </c>
      <c r="G4" s="14" t="s">
        <v>25</v>
      </c>
      <c r="H4" s="14" t="s">
        <v>26</v>
      </c>
    </row>
    <row r="5" spans="1:8" ht="19.95" customHeight="1" x14ac:dyDescent="0.25">
      <c r="A5" s="20" t="s">
        <v>17</v>
      </c>
      <c r="B5" s="21" t="s">
        <v>30</v>
      </c>
      <c r="C5" s="22" t="s">
        <v>29</v>
      </c>
      <c r="D5" s="20" t="s">
        <v>31</v>
      </c>
      <c r="E5" s="23" t="s">
        <v>27</v>
      </c>
      <c r="F5" s="24"/>
      <c r="G5" s="25" t="s">
        <v>6</v>
      </c>
      <c r="H5" s="26">
        <v>0.2</v>
      </c>
    </row>
    <row r="6" spans="1:8" ht="19.95" customHeight="1" x14ac:dyDescent="0.25">
      <c r="A6" s="28" t="s">
        <v>17</v>
      </c>
      <c r="B6" s="29" t="s">
        <v>30</v>
      </c>
      <c r="C6" s="30" t="s">
        <v>33</v>
      </c>
      <c r="D6" s="20" t="s">
        <v>31</v>
      </c>
      <c r="E6" s="23" t="s">
        <v>27</v>
      </c>
      <c r="F6" s="24"/>
      <c r="G6" s="25" t="s">
        <v>6</v>
      </c>
      <c r="H6" s="31">
        <v>0.1</v>
      </c>
    </row>
    <row r="7" spans="1:8" ht="19.95" customHeight="1" x14ac:dyDescent="0.25">
      <c r="A7" s="20" t="s">
        <v>17</v>
      </c>
      <c r="B7" s="21" t="s">
        <v>38</v>
      </c>
      <c r="C7" s="22" t="s">
        <v>39</v>
      </c>
      <c r="D7" s="20" t="s">
        <v>31</v>
      </c>
      <c r="E7" s="23" t="s">
        <v>27</v>
      </c>
      <c r="F7" s="24"/>
      <c r="G7" s="25" t="s">
        <v>6</v>
      </c>
      <c r="H7" s="26">
        <v>0.1</v>
      </c>
    </row>
    <row r="8" spans="1:8" ht="33.6" x14ac:dyDescent="0.25">
      <c r="A8" s="20" t="s">
        <v>17</v>
      </c>
      <c r="B8" s="21" t="s">
        <v>38</v>
      </c>
      <c r="C8" s="21" t="s">
        <v>41</v>
      </c>
      <c r="D8" s="20" t="s">
        <v>31</v>
      </c>
      <c r="E8" s="23" t="s">
        <v>27</v>
      </c>
      <c r="F8" s="24"/>
      <c r="G8" s="25" t="s">
        <v>6</v>
      </c>
      <c r="H8" s="26">
        <v>0.1</v>
      </c>
    </row>
    <row r="9" spans="1:8" ht="16.8" x14ac:dyDescent="0.25">
      <c r="A9" s="20" t="s">
        <v>18</v>
      </c>
      <c r="B9" s="29" t="s">
        <v>34</v>
      </c>
      <c r="C9" s="29" t="s">
        <v>35</v>
      </c>
      <c r="D9" s="20" t="s">
        <v>31</v>
      </c>
      <c r="E9" s="23" t="s">
        <v>27</v>
      </c>
      <c r="F9" s="24"/>
      <c r="G9" s="25" t="s">
        <v>6</v>
      </c>
      <c r="H9" s="31">
        <v>0.3</v>
      </c>
    </row>
    <row r="10" spans="1:8" ht="19.95" customHeight="1" x14ac:dyDescent="0.25">
      <c r="A10" s="20" t="s">
        <v>18</v>
      </c>
      <c r="B10" s="21" t="s">
        <v>34</v>
      </c>
      <c r="C10" s="22" t="s">
        <v>40</v>
      </c>
      <c r="D10" s="20" t="s">
        <v>31</v>
      </c>
      <c r="E10" s="23" t="s">
        <v>27</v>
      </c>
      <c r="F10" s="24"/>
      <c r="G10" s="25" t="s">
        <v>6</v>
      </c>
      <c r="H10" s="26">
        <v>0</v>
      </c>
    </row>
    <row r="11" spans="1:8" ht="67.2" x14ac:dyDescent="0.25">
      <c r="A11" s="20" t="s">
        <v>18</v>
      </c>
      <c r="B11" s="29" t="s">
        <v>36</v>
      </c>
      <c r="C11" s="29" t="s">
        <v>37</v>
      </c>
      <c r="D11" s="20" t="s">
        <v>31</v>
      </c>
      <c r="E11" s="23" t="s">
        <v>27</v>
      </c>
      <c r="F11" s="24"/>
      <c r="G11" s="25" t="s">
        <v>6</v>
      </c>
      <c r="H11" s="31">
        <v>0.1</v>
      </c>
    </row>
    <row r="12" spans="1:8" ht="19.95" customHeight="1" x14ac:dyDescent="0.25">
      <c r="A12" s="28"/>
      <c r="B12" s="34"/>
      <c r="C12" s="27"/>
      <c r="D12" s="28"/>
      <c r="E12" s="24"/>
      <c r="F12" s="24"/>
      <c r="G12" s="35"/>
      <c r="H12" s="26"/>
    </row>
    <row r="13" spans="1:8" ht="19.95" customHeight="1" x14ac:dyDescent="0.25">
      <c r="A13" s="28"/>
      <c r="B13" s="36"/>
      <c r="C13" s="33"/>
      <c r="D13" s="28"/>
      <c r="E13" s="24"/>
      <c r="F13" s="24"/>
      <c r="G13" s="35"/>
      <c r="H13" s="31"/>
    </row>
    <row r="14" spans="1:8" ht="19.95" customHeight="1" x14ac:dyDescent="0.25">
      <c r="A14" s="28"/>
      <c r="B14" s="34"/>
      <c r="C14" s="27"/>
      <c r="D14" s="28"/>
      <c r="E14" s="24"/>
      <c r="F14" s="24"/>
      <c r="G14" s="25"/>
      <c r="H14" s="26"/>
    </row>
    <row r="15" spans="1:8" ht="19.95" customHeight="1" x14ac:dyDescent="0.25">
      <c r="A15" s="28"/>
      <c r="B15" s="36"/>
      <c r="C15" s="33"/>
      <c r="D15" s="28"/>
      <c r="E15" s="24"/>
      <c r="F15" s="24"/>
      <c r="G15" s="25"/>
      <c r="H15" s="31"/>
    </row>
    <row r="16" spans="1:8" ht="19.95" customHeight="1" x14ac:dyDescent="0.25">
      <c r="A16" s="28"/>
      <c r="B16" s="34"/>
      <c r="C16" s="27"/>
      <c r="D16" s="28"/>
      <c r="E16" s="24"/>
      <c r="F16" s="24"/>
      <c r="G16" s="25"/>
      <c r="H16" s="26"/>
    </row>
    <row r="17" spans="1:8" ht="19.95" customHeight="1" x14ac:dyDescent="0.25">
      <c r="A17" s="28"/>
      <c r="B17" s="36"/>
      <c r="C17" s="33"/>
      <c r="D17" s="28"/>
      <c r="E17" s="24"/>
      <c r="F17" s="24"/>
      <c r="G17" s="37"/>
      <c r="H17" s="31"/>
    </row>
    <row r="18" spans="1:8" ht="19.95" customHeight="1" x14ac:dyDescent="0.25">
      <c r="A18" s="28"/>
      <c r="B18" s="34"/>
      <c r="C18" s="27"/>
      <c r="D18" s="28"/>
      <c r="E18" s="24"/>
      <c r="F18" s="24"/>
      <c r="G18" s="37"/>
      <c r="H18" s="26"/>
    </row>
    <row r="19" spans="1:8" ht="19.95" customHeight="1" x14ac:dyDescent="0.25">
      <c r="A19" s="28"/>
      <c r="B19" s="36"/>
      <c r="C19" s="33"/>
      <c r="D19" s="28"/>
      <c r="E19" s="24"/>
      <c r="F19" s="24"/>
      <c r="G19" s="37"/>
      <c r="H19" s="31"/>
    </row>
    <row r="20" spans="1:8" ht="19.95" customHeight="1" x14ac:dyDescent="0.25">
      <c r="A20" s="28"/>
      <c r="B20" s="34"/>
      <c r="C20" s="27"/>
      <c r="D20" s="28"/>
      <c r="E20" s="24"/>
      <c r="F20" s="24"/>
      <c r="G20" s="25"/>
      <c r="H20" s="26"/>
    </row>
    <row r="21" spans="1:8" ht="19.95" customHeight="1" x14ac:dyDescent="0.25">
      <c r="A21" s="28"/>
      <c r="B21" s="36"/>
      <c r="C21" s="33"/>
      <c r="D21" s="28"/>
      <c r="E21" s="24"/>
      <c r="F21" s="24"/>
      <c r="G21" s="25"/>
      <c r="H21" s="31"/>
    </row>
    <row r="22" spans="1:8" ht="19.95" customHeight="1" x14ac:dyDescent="0.25">
      <c r="A22" s="28"/>
      <c r="B22" s="34"/>
      <c r="C22" s="27"/>
      <c r="D22" s="28"/>
      <c r="E22" s="24"/>
      <c r="F22" s="24"/>
      <c r="G22" s="37"/>
      <c r="H22" s="26"/>
    </row>
    <row r="23" spans="1:8" ht="19.95" customHeight="1" x14ac:dyDescent="0.25">
      <c r="A23" s="28"/>
      <c r="B23" s="36"/>
      <c r="C23" s="33"/>
      <c r="D23" s="28"/>
      <c r="E23" s="24"/>
      <c r="F23" s="24"/>
      <c r="G23" s="37"/>
      <c r="H23" s="31"/>
    </row>
    <row r="24" spans="1:8" ht="19.95" customHeight="1" x14ac:dyDescent="0.25">
      <c r="A24" s="28"/>
      <c r="B24" s="34"/>
      <c r="C24" s="27"/>
      <c r="D24" s="28"/>
      <c r="E24" s="24"/>
      <c r="F24" s="24"/>
      <c r="G24" s="37"/>
      <c r="H24" s="26"/>
    </row>
    <row r="25" spans="1:8" ht="19.95" customHeight="1" x14ac:dyDescent="0.25">
      <c r="A25" s="28"/>
      <c r="B25" s="36"/>
      <c r="C25" s="33"/>
      <c r="D25" s="28"/>
      <c r="E25" s="24"/>
      <c r="F25" s="24"/>
      <c r="G25" s="37"/>
      <c r="H25" s="31"/>
    </row>
    <row r="26" spans="1:8" ht="19.95" customHeight="1" x14ac:dyDescent="0.25">
      <c r="A26" s="28"/>
      <c r="B26" s="34"/>
      <c r="C26" s="27"/>
      <c r="D26" s="28"/>
      <c r="E26" s="24"/>
      <c r="F26" s="24"/>
      <c r="G26" s="37"/>
      <c r="H26" s="26"/>
    </row>
    <row r="27" spans="1:8" ht="19.95" customHeight="1" x14ac:dyDescent="0.25">
      <c r="A27" s="28"/>
      <c r="B27" s="36"/>
      <c r="C27" s="33"/>
      <c r="D27" s="28"/>
      <c r="E27" s="24"/>
      <c r="F27" s="24"/>
      <c r="G27" s="37"/>
      <c r="H27" s="31"/>
    </row>
    <row r="28" spans="1:8" ht="19.95" customHeight="1" x14ac:dyDescent="0.25">
      <c r="A28" s="28"/>
      <c r="B28" s="34"/>
      <c r="C28" s="27"/>
      <c r="D28" s="28"/>
      <c r="E28" s="24"/>
      <c r="F28" s="24"/>
      <c r="G28" s="37"/>
      <c r="H28" s="26"/>
    </row>
    <row r="29" spans="1:8" ht="19.95" customHeight="1" x14ac:dyDescent="0.25">
      <c r="A29" s="28"/>
      <c r="B29" s="36"/>
      <c r="C29" s="33"/>
      <c r="D29" s="28"/>
      <c r="E29" s="24"/>
      <c r="F29" s="24"/>
      <c r="G29" s="37"/>
      <c r="H29" s="31"/>
    </row>
    <row r="30" spans="1:8" ht="19.95" customHeight="1" x14ac:dyDescent="0.25">
      <c r="A30" s="28"/>
      <c r="B30" s="34"/>
      <c r="C30" s="27"/>
      <c r="D30" s="28"/>
      <c r="E30" s="24"/>
      <c r="F30" s="24"/>
      <c r="G30" s="37"/>
      <c r="H30" s="2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Overview</vt:lpstr>
      <vt:lpstr>Detailed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Tuan Anh</cp:lastModifiedBy>
  <dcterms:created xsi:type="dcterms:W3CDTF">2026-05-27T03:00:08Z</dcterms:created>
  <dcterms:modified xsi:type="dcterms:W3CDTF">2026-05-27T04:22:49Z</dcterms:modified>
</cp:coreProperties>
</file>